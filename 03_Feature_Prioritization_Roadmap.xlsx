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_Backlog" sheetId="1" state="visible" r:id="rId3"/>
    <sheet name="Product_Roadmap" sheetId="2" state="visible" r:id="rId4"/>
    <sheet name="RICE_MoSCoW_Scoring" sheetId="3" state="visible" r:id="rId5"/>
    <sheet name="Success_Metri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<sst xmlns="http://schemas.openxmlformats.org/spreadsheetml/2006/main" count="329" uniqueCount="166">
  <si>
    <t xml:space="preserve">EdTech Platform — Feature Backlog (Course Project)</t>
  </si>
  <si>
    <t xml:space="preserve">Hypothetical stakeholder sources: Students (n=120), Instructors (n=18), Administrators (n=6)  |  Scoring: RICE + MoSCoW  |  Target: +15 percentage points course completion (62% to 77%)</t>
  </si>
  <si>
    <t xml:space="preserve">#</t>
  </si>
  <si>
    <t xml:space="preserve">Feature / Initiative</t>
  </si>
  <si>
    <t xml:space="preserve">Stakeholder Source</t>
  </si>
  <si>
    <t xml:space="preserve">Category</t>
  </si>
  <si>
    <t xml:space="preserve">Reach (users/qtr)</t>
  </si>
  <si>
    <t xml:space="preserve">Impact (1–3)</t>
  </si>
  <si>
    <t xml:space="preserve">Confidence %</t>
  </si>
  <si>
    <t xml:space="preserve">Effort (weeks)</t>
  </si>
  <si>
    <t xml:space="preserve">RICE Score</t>
  </si>
  <si>
    <t xml:space="preserve">MoSCoW</t>
  </si>
  <si>
    <t xml:space="preserve">Quarter</t>
  </si>
  <si>
    <t xml:space="preserve">Adaptive Quiz Engine</t>
  </si>
  <si>
    <t xml:space="preserve">Students, Instructors</t>
  </si>
  <si>
    <t xml:space="preserve">Learning Engine</t>
  </si>
  <si>
    <t xml:space="preserve">Must Have</t>
  </si>
  <si>
    <t xml:space="preserve">Q1</t>
  </si>
  <si>
    <t xml:space="preserve">Progress Dashboard</t>
  </si>
  <si>
    <t xml:space="preserve">Students</t>
  </si>
  <si>
    <t xml:space="preserve">Analytics</t>
  </si>
  <si>
    <t xml:space="preserve">Mobile App — iOS &amp; Android</t>
  </si>
  <si>
    <t xml:space="preserve">Platform</t>
  </si>
  <si>
    <t xml:space="preserve">Video Playback Speed Control</t>
  </si>
  <si>
    <t xml:space="preserve">UX/Platform</t>
  </si>
  <si>
    <t xml:space="preserve">Instructor Analytics Portal</t>
  </si>
  <si>
    <t xml:space="preserve">Instructors</t>
  </si>
  <si>
    <t xml:space="preserve">Q2</t>
  </si>
  <si>
    <t xml:space="preserve">Gamification &amp; Badges</t>
  </si>
  <si>
    <t xml:space="preserve">Engagement</t>
  </si>
  <si>
    <t xml:space="preserve">Should Have</t>
  </si>
  <si>
    <t xml:space="preserve">Discussion Forums</t>
  </si>
  <si>
    <t xml:space="preserve">Community</t>
  </si>
  <si>
    <t xml:space="preserve">Offline Mode</t>
  </si>
  <si>
    <t xml:space="preserve">AI Study Recommendations</t>
  </si>
  <si>
    <t xml:space="preserve">Bulk Content Upload (Admin)</t>
  </si>
  <si>
    <t xml:space="preserve">Administrators</t>
  </si>
  <si>
    <t xml:space="preserve">Admin</t>
  </si>
  <si>
    <t xml:space="preserve">LMS Integration (Canvas/Moodle)</t>
  </si>
  <si>
    <t xml:space="preserve">Instructors, Admin</t>
  </si>
  <si>
    <t xml:space="preserve">Integrations</t>
  </si>
  <si>
    <t xml:space="preserve">Q3</t>
  </si>
  <si>
    <t xml:space="preserve">Accessibility Mode (WCAG 2.1)</t>
  </si>
  <si>
    <t xml:space="preserve">Compliance</t>
  </si>
  <si>
    <t xml:space="preserve">Live Session Streaming</t>
  </si>
  <si>
    <t xml:space="preserve">Could Have</t>
  </si>
  <si>
    <t xml:space="preserve">Peer Review Assignments</t>
  </si>
  <si>
    <t xml:space="preserve">Certificate Generation</t>
  </si>
  <si>
    <t xml:space="preserve">Dark Mode UI</t>
  </si>
  <si>
    <t xml:space="preserve">Parent/Guardian Portal</t>
  </si>
  <si>
    <t xml:space="preserve">Q4</t>
  </si>
  <si>
    <t xml:space="preserve">Subscription Management</t>
  </si>
  <si>
    <t xml:space="preserve">API for 3rd-party Plugins</t>
  </si>
  <si>
    <t xml:space="preserve">Won't Have</t>
  </si>
  <si>
    <t xml:space="preserve">Multi-language Support</t>
  </si>
  <si>
    <t xml:space="preserve">Custom Branding (White-label)</t>
  </si>
  <si>
    <t xml:space="preserve">Spaced Repetition Flashcards</t>
  </si>
  <si>
    <t xml:space="preserve">Student Cohort Grouping</t>
  </si>
  <si>
    <t xml:space="preserve">Email Digest (Weekly Summary)</t>
  </si>
  <si>
    <t xml:space="preserve">Proctoring Integration</t>
  </si>
  <si>
    <t xml:space="preserve">EdTech Platform — 3-Quarter Product Roadmap (12 High-Priority Initiatives)</t>
  </si>
  <si>
    <t xml:space="preserve">Q1 — Foundation (4 features)</t>
  </si>
  <si>
    <t xml:space="preserve">Initiative</t>
  </si>
  <si>
    <t xml:space="preserve">Priority</t>
  </si>
  <si>
    <t xml:space="preserve">Business Impact</t>
  </si>
  <si>
    <t xml:space="preserve">Success Metric</t>
  </si>
  <si>
    <t xml:space="preserve">Est. Effort</t>
  </si>
  <si>
    <t xml:space="preserve">+8% completion rate</t>
  </si>
  <si>
    <t xml:space="preserve">Quiz pass rate ≥ 75%; CSAT ≥ 4.2</t>
  </si>
  <si>
    <t xml:space="preserve">6 wks</t>
  </si>
  <si>
    <t xml:space="preserve">Reduce drop-off 12%</t>
  </si>
  <si>
    <t xml:space="preserve">DAU viewing dashboard ≥ 30%</t>
  </si>
  <si>
    <t xml:space="preserve">4 wks</t>
  </si>
  <si>
    <t xml:space="preserve">+22% mobile engagement</t>
  </si>
  <si>
    <t xml:space="preserve">App store rating ≥ 4.0; D7 retention ≥ 55%</t>
  </si>
  <si>
    <t xml:space="preserve">12 wks</t>
  </si>
  <si>
    <t xml:space="preserve">Reduce support tickets 15%</t>
  </si>
  <si>
    <t xml:space="preserve">Feature adoption ≥ 40% in 30 days</t>
  </si>
  <si>
    <t xml:space="preserve">2 wks</t>
  </si>
  <si>
    <t xml:space="preserve">Q2 — Engagement (4 features)</t>
  </si>
  <si>
    <t xml:space="preserve">Instructor NPS +15 pts</t>
  </si>
  <si>
    <t xml:space="preserve">Weekly active instructors ≥ 60%</t>
  </si>
  <si>
    <t xml:space="preserve">5 wks</t>
  </si>
  <si>
    <t xml:space="preserve">Save 3 hrs/wk per admin</t>
  </si>
  <si>
    <t xml:space="preserve">Upload success rate ≥ 99%</t>
  </si>
  <si>
    <t xml:space="preserve">3 wks</t>
  </si>
  <si>
    <t xml:space="preserve">+10% course completion</t>
  </si>
  <si>
    <t xml:space="preserve">Badge earn rate ≥ 25% of users</t>
  </si>
  <si>
    <t xml:space="preserve">8 wks</t>
  </si>
  <si>
    <t xml:space="preserve">+5% peer engagement</t>
  </si>
  <si>
    <t xml:space="preserve">Posts per active user ≥ 2/month</t>
  </si>
  <si>
    <t xml:space="preserve">Q3 — Scale &amp; Compliance (4 features)</t>
  </si>
  <si>
    <t xml:space="preserve">Full ADA compliance</t>
  </si>
  <si>
    <t xml:space="preserve">WCAG 2.1 AA audit passed</t>
  </si>
  <si>
    <t xml:space="preserve">+18% course completion</t>
  </si>
  <si>
    <t xml:space="preserve">Cert issued within 24hrs; error rate &lt; 0.1%</t>
  </si>
  <si>
    <t xml:space="preserve">+7% engagement depth</t>
  </si>
  <si>
    <t xml:space="preserve">Avg review quality score ≥ 3.5/5</t>
  </si>
  <si>
    <t xml:space="preserve">7 wks</t>
  </si>
  <si>
    <t xml:space="preserve">Expand B2B pipeline</t>
  </si>
  <si>
    <t xml:space="preserve">Sync error rate &lt; 0.5%; onboard ≥ 3 institutions</t>
  </si>
  <si>
    <t xml:space="preserve">10 wks</t>
  </si>
  <si>
    <t xml:space="preserve">RICE &amp; MoSCoW Scoring Methodology</t>
  </si>
  <si>
    <t xml:space="preserve">RICE Score = (Reach × Impact × Confidence%) ÷ Effort | Higher score = higher priority</t>
  </si>
  <si>
    <t xml:space="preserve">Feature</t>
  </si>
  <si>
    <t xml:space="preserve">Reach</t>
  </si>
  <si>
    <t xml:space="preserve">Impact</t>
  </si>
  <si>
    <t xml:space="preserve">Confidence</t>
  </si>
  <si>
    <t xml:space="preserve">Effort</t>
  </si>
  <si>
    <t xml:space="preserve">Rank</t>
  </si>
  <si>
    <t xml:space="preserve">Video Speed Control</t>
  </si>
  <si>
    <t xml:space="preserve">Mobile App</t>
  </si>
  <si>
    <t xml:space="preserve">Instructor Analytics</t>
  </si>
  <si>
    <t xml:space="preserve">Peer Review</t>
  </si>
  <si>
    <t xml:space="preserve">LMS Integration</t>
  </si>
  <si>
    <t xml:space="preserve">Spaced Repetition</t>
  </si>
  <si>
    <t xml:space="preserve">Live Streaming</t>
  </si>
  <si>
    <t xml:space="preserve">Rank compares the 12 features on this sheet. Feature_Backlog scores all 25 items; the roadmap takes all 8 Must Haves plus 4 Should Haves.</t>
  </si>
  <si>
    <t xml:space="preserve">Success Metrics &amp; Acceptance Criteria — Target: +15 Percentage Points Course Completion (62% to 77%)</t>
  </si>
  <si>
    <t xml:space="preserve">Primary KPI</t>
  </si>
  <si>
    <t xml:space="preserve">Baseline</t>
  </si>
  <si>
    <t xml:space="preserve">Target</t>
  </si>
  <si>
    <t xml:space="preserve">Acceptance Criteria</t>
  </si>
  <si>
    <t xml:space="preserve">Course Completion Rate</t>
  </si>
  <si>
    <t xml:space="preserve">62%</t>
  </si>
  <si>
    <t xml:space="preserve">73%</t>
  </si>
  <si>
    <t xml:space="preserve">Quiz pass rate ≥ 75%; CSAT ≥ 4.2; completion lift ≥ 8pp</t>
  </si>
  <si>
    <t xml:space="preserve">Daily Active Users</t>
  </si>
  <si>
    <t xml:space="preserve">28%</t>
  </si>
  <si>
    <t xml:space="preserve">40%</t>
  </si>
  <si>
    <t xml:space="preserve">≥ 30% of users viewing dashboard weekly</t>
  </si>
  <si>
    <t xml:space="preserve">Mobile Session Share</t>
  </si>
  <si>
    <t xml:space="preserve">12%</t>
  </si>
  <si>
    <t xml:space="preserve">35%</t>
  </si>
  <si>
    <t xml:space="preserve">D7 mobile retention ≥ 55%; app rating ≥ 4.0</t>
  </si>
  <si>
    <t xml:space="preserve">Gamification</t>
  </si>
  <si>
    <t xml:space="preserve">Avg Sessions/User/Month</t>
  </si>
  <si>
    <t xml:space="preserve">4.2</t>
  </si>
  <si>
    <t xml:space="preserve">6.5</t>
  </si>
  <si>
    <t xml:space="preserve">Badge earn rate ≥ 25%; completion lift ≥ 10pp</t>
  </si>
  <si>
    <t xml:space="preserve">Completion Rate</t>
  </si>
  <si>
    <t xml:space="preserve">77%</t>
  </si>
  <si>
    <t xml:space="preserve">Certs issued &lt;24hrs; error &lt; 0.1%</t>
  </si>
  <si>
    <t xml:space="preserve">Instructor NPS</t>
  </si>
  <si>
    <t xml:space="preserve">32</t>
  </si>
  <si>
    <t xml:space="preserve">47+</t>
  </si>
  <si>
    <t xml:space="preserve">Engagement Depth Score</t>
  </si>
  <si>
    <t xml:space="preserve">2.1</t>
  </si>
  <si>
    <t xml:space="preserve">3.0</t>
  </si>
  <si>
    <t xml:space="preserve">Avg review quality ≥ 3.5/5</t>
  </si>
  <si>
    <t xml:space="preserve">Accessibility</t>
  </si>
  <si>
    <t xml:space="preserve">ADA Compliance</t>
  </si>
  <si>
    <t xml:space="preserve">Partial</t>
  </si>
  <si>
    <t xml:space="preserve">Full WCAG 2.1 AA</t>
  </si>
  <si>
    <t xml:space="preserve">Audit pass; zero critical violations</t>
  </si>
  <si>
    <t xml:space="preserve">B2B Pipeline</t>
  </si>
  <si>
    <t xml:space="preserve">0 institutions</t>
  </si>
  <si>
    <t xml:space="preserve">3+ institutions</t>
  </si>
  <si>
    <t xml:space="preserve">Sync error rate &lt; 0.5%</t>
  </si>
  <si>
    <t xml:space="preserve">Peer Interaction Rate</t>
  </si>
  <si>
    <t xml:space="preserve">8%</t>
  </si>
  <si>
    <t xml:space="preserve">15%</t>
  </si>
  <si>
    <t xml:space="preserve">OVERALL TARGET</t>
  </si>
  <si>
    <t xml:space="preserve">77% (+15pp)</t>
  </si>
  <si>
    <t xml:space="preserve">Aggregate lift across all 12 initiatives</t>
  </si>
  <si>
    <t xml:space="preserve">All baselines and targets are hypothetical planning figures for an illustrative platform.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</si>
</sst>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F3F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7F3F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9" min="8" style="1" width="10"/>
    <col collapsed="false" customWidth="true" hidden="false" outlineLevel="0" max="10" min="10" style="1" width="12"/>
    <col collapsed="false" customWidth="true" hidden="false" outlineLevel="0" max="11" min="11" style="1" width="1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15" hidden="false" customHeight="true" outlineLevel="0" collapsed="false">
      <c r="A5" s="5" t="n">
        <v>1</v>
      </c>
      <c r="B5" s="5" t="s">
        <v>13</v>
      </c>
      <c r="C5" s="5" t="s">
        <v>14</v>
      </c>
      <c r="D5" s="5" t="s">
        <v>15</v>
      </c>
      <c r="E5" s="5" t="n">
        <v>800</v>
      </c>
      <c r="F5" s="5" t="n">
        <v>3</v>
      </c>
      <c r="G5" s="5" t="n">
        <v>80</v>
      </c>
      <c r="H5" s="5" t="n">
        <v>6</v>
      </c>
      <c r="I5" s="6" t="n">
        <f aca="false">(E5*F5*(G5/100))/H5</f>
        <v>320</v>
      </c>
      <c r="J5" s="7" t="s">
        <v>16</v>
      </c>
      <c r="K5" s="5" t="s">
        <v>17</v>
      </c>
    </row>
    <row r="6" customFormat="false" ht="15" hidden="false" customHeight="true" outlineLevel="0" collapsed="false">
      <c r="A6" s="8" t="n">
        <v>2</v>
      </c>
      <c r="B6" s="8" t="s">
        <v>18</v>
      </c>
      <c r="C6" s="8" t="s">
        <v>19</v>
      </c>
      <c r="D6" s="8" t="s">
        <v>20</v>
      </c>
      <c r="E6" s="8" t="n">
        <v>950</v>
      </c>
      <c r="F6" s="8" t="n">
        <v>3</v>
      </c>
      <c r="G6" s="8" t="n">
        <v>90</v>
      </c>
      <c r="H6" s="8" t="n">
        <v>4</v>
      </c>
      <c r="I6" s="9" t="n">
        <f aca="false">(E6*F6*(G6/100))/H6</f>
        <v>641.25</v>
      </c>
      <c r="J6" s="10" t="s">
        <v>16</v>
      </c>
      <c r="K6" s="8" t="s">
        <v>17</v>
      </c>
    </row>
    <row r="7" customFormat="false" ht="15" hidden="false" customHeight="true" outlineLevel="0" collapsed="false">
      <c r="A7" s="5" t="n">
        <v>3</v>
      </c>
      <c r="B7" s="5" t="s">
        <v>21</v>
      </c>
      <c r="C7" s="5" t="s">
        <v>19</v>
      </c>
      <c r="D7" s="5" t="s">
        <v>22</v>
      </c>
      <c r="E7" s="5" t="n">
        <v>1100</v>
      </c>
      <c r="F7" s="5" t="n">
        <v>3</v>
      </c>
      <c r="G7" s="5" t="n">
        <v>70</v>
      </c>
      <c r="H7" s="5" t="n">
        <v>12</v>
      </c>
      <c r="I7" s="6" t="n">
        <f aca="false">(E7*F7*(G7/100))/H7</f>
        <v>192.5</v>
      </c>
      <c r="J7" s="7" t="s">
        <v>16</v>
      </c>
      <c r="K7" s="5" t="s">
        <v>17</v>
      </c>
    </row>
    <row r="8" customFormat="false" ht="15" hidden="false" customHeight="true" outlineLevel="0" collapsed="false">
      <c r="A8" s="8" t="n">
        <v>4</v>
      </c>
      <c r="B8" s="8" t="s">
        <v>23</v>
      </c>
      <c r="C8" s="8" t="s">
        <v>19</v>
      </c>
      <c r="D8" s="8" t="s">
        <v>24</v>
      </c>
      <c r="E8" s="8" t="n">
        <v>900</v>
      </c>
      <c r="F8" s="8" t="n">
        <v>2</v>
      </c>
      <c r="G8" s="8" t="n">
        <v>95</v>
      </c>
      <c r="H8" s="8" t="n">
        <v>2</v>
      </c>
      <c r="I8" s="9" t="n">
        <f aca="false">(E8*F8*(G8/100))/H8</f>
        <v>855</v>
      </c>
      <c r="J8" s="10" t="s">
        <v>16</v>
      </c>
      <c r="K8" s="8" t="s">
        <v>17</v>
      </c>
    </row>
    <row r="9" customFormat="false" ht="15" hidden="false" customHeight="true" outlineLevel="0" collapsed="false">
      <c r="A9" s="5" t="n">
        <v>5</v>
      </c>
      <c r="B9" s="5" t="s">
        <v>25</v>
      </c>
      <c r="C9" s="5" t="s">
        <v>26</v>
      </c>
      <c r="D9" s="5" t="s">
        <v>20</v>
      </c>
      <c r="E9" s="5" t="n">
        <v>180</v>
      </c>
      <c r="F9" s="5" t="n">
        <v>3</v>
      </c>
      <c r="G9" s="5" t="n">
        <v>85</v>
      </c>
      <c r="H9" s="5" t="n">
        <v>5</v>
      </c>
      <c r="I9" s="6" t="n">
        <f aca="false">(E9*F9*(G9/100))/H9</f>
        <v>91.8</v>
      </c>
      <c r="J9" s="7" t="s">
        <v>16</v>
      </c>
      <c r="K9" s="5" t="s">
        <v>27</v>
      </c>
    </row>
    <row r="10" customFormat="false" ht="15" hidden="false" customHeight="true" outlineLevel="0" collapsed="false">
      <c r="A10" s="8" t="n">
        <v>6</v>
      </c>
      <c r="B10" s="8" t="s">
        <v>28</v>
      </c>
      <c r="C10" s="8" t="s">
        <v>19</v>
      </c>
      <c r="D10" s="8" t="s">
        <v>29</v>
      </c>
      <c r="E10" s="8" t="n">
        <v>750</v>
      </c>
      <c r="F10" s="8" t="n">
        <v>2</v>
      </c>
      <c r="G10" s="8" t="n">
        <v>65</v>
      </c>
      <c r="H10" s="8" t="n">
        <v>8</v>
      </c>
      <c r="I10" s="9" t="n">
        <f aca="false">(E10*F10*(G10/100))/H10</f>
        <v>121.875</v>
      </c>
      <c r="J10" s="11" t="s">
        <v>30</v>
      </c>
      <c r="K10" s="8" t="s">
        <v>27</v>
      </c>
    </row>
    <row r="11" customFormat="false" ht="15" hidden="false" customHeight="true" outlineLevel="0" collapsed="false">
      <c r="A11" s="5" t="n">
        <v>7</v>
      </c>
      <c r="B11" s="5" t="s">
        <v>31</v>
      </c>
      <c r="C11" s="5" t="s">
        <v>19</v>
      </c>
      <c r="D11" s="5" t="s">
        <v>32</v>
      </c>
      <c r="E11" s="5" t="n">
        <v>600</v>
      </c>
      <c r="F11" s="5" t="n">
        <v>2</v>
      </c>
      <c r="G11" s="5" t="n">
        <v>75</v>
      </c>
      <c r="H11" s="5" t="n">
        <v>6</v>
      </c>
      <c r="I11" s="6" t="n">
        <f aca="false">(E11*F11*(G11/100))/H11</f>
        <v>150</v>
      </c>
      <c r="J11" s="12" t="s">
        <v>30</v>
      </c>
      <c r="K11" s="5" t="s">
        <v>27</v>
      </c>
    </row>
    <row r="12" customFormat="false" ht="15" hidden="false" customHeight="true" outlineLevel="0" collapsed="false">
      <c r="A12" s="8" t="n">
        <v>8</v>
      </c>
      <c r="B12" s="8" t="s">
        <v>33</v>
      </c>
      <c r="C12" s="8" t="s">
        <v>19</v>
      </c>
      <c r="D12" s="8" t="s">
        <v>22</v>
      </c>
      <c r="E12" s="8" t="n">
        <v>500</v>
      </c>
      <c r="F12" s="8" t="n">
        <v>2</v>
      </c>
      <c r="G12" s="8" t="n">
        <v>60</v>
      </c>
      <c r="H12" s="8" t="n">
        <v>10</v>
      </c>
      <c r="I12" s="9" t="n">
        <f aca="false">(E12*F12*(G12/100))/H12</f>
        <v>60</v>
      </c>
      <c r="J12" s="11" t="s">
        <v>30</v>
      </c>
      <c r="K12" s="8" t="s">
        <v>27</v>
      </c>
    </row>
    <row r="13" customFormat="false" ht="15" hidden="false" customHeight="true" outlineLevel="0" collapsed="false">
      <c r="A13" s="5" t="n">
        <v>9</v>
      </c>
      <c r="B13" s="5" t="s">
        <v>34</v>
      </c>
      <c r="C13" s="5" t="s">
        <v>19</v>
      </c>
      <c r="D13" s="5" t="s">
        <v>15</v>
      </c>
      <c r="E13" s="5" t="n">
        <v>700</v>
      </c>
      <c r="F13" s="5" t="n">
        <v>3</v>
      </c>
      <c r="G13" s="5" t="n">
        <v>55</v>
      </c>
      <c r="H13" s="5" t="n">
        <v>14</v>
      </c>
      <c r="I13" s="6" t="n">
        <f aca="false">(E13*F13*(G13/100))/H13</f>
        <v>82.5</v>
      </c>
      <c r="J13" s="12" t="s">
        <v>30</v>
      </c>
      <c r="K13" s="5" t="s">
        <v>27</v>
      </c>
    </row>
    <row r="14" customFormat="false" ht="15" hidden="false" customHeight="true" outlineLevel="0" collapsed="false">
      <c r="A14" s="8" t="n">
        <v>10</v>
      </c>
      <c r="B14" s="8" t="s">
        <v>35</v>
      </c>
      <c r="C14" s="8" t="s">
        <v>36</v>
      </c>
      <c r="D14" s="8" t="s">
        <v>37</v>
      </c>
      <c r="E14" s="8" t="n">
        <v>60</v>
      </c>
      <c r="F14" s="8" t="n">
        <v>3</v>
      </c>
      <c r="G14" s="8" t="n">
        <v>90</v>
      </c>
      <c r="H14" s="8" t="n">
        <v>3</v>
      </c>
      <c r="I14" s="9" t="n">
        <f aca="false">(E14*F14*(G14/100))/H14</f>
        <v>54</v>
      </c>
      <c r="J14" s="10" t="s">
        <v>16</v>
      </c>
      <c r="K14" s="8" t="s">
        <v>27</v>
      </c>
    </row>
    <row r="15" customFormat="false" ht="15" hidden="false" customHeight="true" outlineLevel="0" collapsed="false">
      <c r="A15" s="5" t="n">
        <v>11</v>
      </c>
      <c r="B15" s="5" t="s">
        <v>38</v>
      </c>
      <c r="C15" s="5" t="s">
        <v>39</v>
      </c>
      <c r="D15" s="5" t="s">
        <v>40</v>
      </c>
      <c r="E15" s="5" t="n">
        <v>200</v>
      </c>
      <c r="F15" s="5" t="n">
        <v>3</v>
      </c>
      <c r="G15" s="5" t="n">
        <v>70</v>
      </c>
      <c r="H15" s="5" t="n">
        <v>10</v>
      </c>
      <c r="I15" s="6" t="n">
        <f aca="false">(E15*F15*(G15/100))/H15</f>
        <v>42</v>
      </c>
      <c r="J15" s="12" t="s">
        <v>30</v>
      </c>
      <c r="K15" s="5" t="s">
        <v>41</v>
      </c>
    </row>
    <row r="16" customFormat="false" ht="15" hidden="false" customHeight="true" outlineLevel="0" collapsed="false">
      <c r="A16" s="8" t="n">
        <v>12</v>
      </c>
      <c r="B16" s="8" t="s">
        <v>42</v>
      </c>
      <c r="C16" s="8" t="s">
        <v>19</v>
      </c>
      <c r="D16" s="8" t="s">
        <v>43</v>
      </c>
      <c r="E16" s="8" t="n">
        <v>1100</v>
      </c>
      <c r="F16" s="8" t="n">
        <v>3</v>
      </c>
      <c r="G16" s="8" t="n">
        <v>95</v>
      </c>
      <c r="H16" s="8" t="n">
        <v>8</v>
      </c>
      <c r="I16" s="9" t="n">
        <f aca="false">(E16*F16*(G16/100))/H16</f>
        <v>391.875</v>
      </c>
      <c r="J16" s="10" t="s">
        <v>16</v>
      </c>
      <c r="K16" s="8" t="s">
        <v>41</v>
      </c>
    </row>
    <row r="17" customFormat="false" ht="15" hidden="false" customHeight="true" outlineLevel="0" collapsed="false">
      <c r="A17" s="5" t="n">
        <v>13</v>
      </c>
      <c r="B17" s="5" t="s">
        <v>44</v>
      </c>
      <c r="C17" s="5" t="s">
        <v>26</v>
      </c>
      <c r="D17" s="5" t="s">
        <v>22</v>
      </c>
      <c r="E17" s="5" t="n">
        <v>300</v>
      </c>
      <c r="F17" s="5" t="n">
        <v>2</v>
      </c>
      <c r="G17" s="5" t="n">
        <v>60</v>
      </c>
      <c r="H17" s="5" t="n">
        <v>12</v>
      </c>
      <c r="I17" s="6" t="n">
        <f aca="false">(E17*F17*(G17/100))/H17</f>
        <v>30</v>
      </c>
      <c r="J17" s="13" t="s">
        <v>45</v>
      </c>
      <c r="K17" s="5" t="s">
        <v>41</v>
      </c>
    </row>
    <row r="18" customFormat="false" ht="15" hidden="false" customHeight="true" outlineLevel="0" collapsed="false">
      <c r="A18" s="8" t="n">
        <v>14</v>
      </c>
      <c r="B18" s="8" t="s">
        <v>46</v>
      </c>
      <c r="C18" s="8" t="s">
        <v>14</v>
      </c>
      <c r="D18" s="8" t="s">
        <v>15</v>
      </c>
      <c r="E18" s="8" t="n">
        <v>450</v>
      </c>
      <c r="F18" s="8" t="n">
        <v>2</v>
      </c>
      <c r="G18" s="8" t="n">
        <v>65</v>
      </c>
      <c r="H18" s="8" t="n">
        <v>7</v>
      </c>
      <c r="I18" s="9" t="n">
        <f aca="false">(E18*F18*(G18/100))/H18</f>
        <v>83.5714285714286</v>
      </c>
      <c r="J18" s="11" t="s">
        <v>30</v>
      </c>
      <c r="K18" s="8" t="s">
        <v>41</v>
      </c>
    </row>
    <row r="19" customFormat="false" ht="15" hidden="false" customHeight="true" outlineLevel="0" collapsed="false">
      <c r="A19" s="5" t="n">
        <v>15</v>
      </c>
      <c r="B19" s="5" t="s">
        <v>47</v>
      </c>
      <c r="C19" s="5" t="s">
        <v>19</v>
      </c>
      <c r="D19" s="5" t="s">
        <v>43</v>
      </c>
      <c r="E19" s="5" t="n">
        <v>900</v>
      </c>
      <c r="F19" s="5" t="n">
        <v>3</v>
      </c>
      <c r="G19" s="5" t="n">
        <v>85</v>
      </c>
      <c r="H19" s="5" t="n">
        <v>3</v>
      </c>
      <c r="I19" s="6" t="n">
        <f aca="false">(E19*F19*(G19/100))/H19</f>
        <v>765</v>
      </c>
      <c r="J19" s="7" t="s">
        <v>16</v>
      </c>
      <c r="K19" s="5" t="s">
        <v>41</v>
      </c>
    </row>
    <row r="20" customFormat="false" ht="15" hidden="false" customHeight="true" outlineLevel="0" collapsed="false">
      <c r="A20" s="8" t="n">
        <v>16</v>
      </c>
      <c r="B20" s="8" t="s">
        <v>48</v>
      </c>
      <c r="C20" s="8" t="s">
        <v>19</v>
      </c>
      <c r="D20" s="8" t="s">
        <v>24</v>
      </c>
      <c r="E20" s="8" t="n">
        <v>800</v>
      </c>
      <c r="F20" s="8" t="n">
        <v>1</v>
      </c>
      <c r="G20" s="8" t="n">
        <v>80</v>
      </c>
      <c r="H20" s="8" t="n">
        <v>2</v>
      </c>
      <c r="I20" s="9" t="n">
        <f aca="false">(E20*F20*(G20/100))/H20</f>
        <v>320</v>
      </c>
      <c r="J20" s="14" t="s">
        <v>45</v>
      </c>
      <c r="K20" s="8" t="s">
        <v>41</v>
      </c>
    </row>
    <row r="21" customFormat="false" ht="15" hidden="false" customHeight="true" outlineLevel="0" collapsed="false">
      <c r="A21" s="5" t="n">
        <v>17</v>
      </c>
      <c r="B21" s="5" t="s">
        <v>49</v>
      </c>
      <c r="C21" s="5" t="s">
        <v>36</v>
      </c>
      <c r="D21" s="5" t="s">
        <v>37</v>
      </c>
      <c r="E21" s="5" t="n">
        <v>150</v>
      </c>
      <c r="F21" s="5" t="n">
        <v>2</v>
      </c>
      <c r="G21" s="5" t="n">
        <v>50</v>
      </c>
      <c r="H21" s="5" t="n">
        <v>8</v>
      </c>
      <c r="I21" s="6" t="n">
        <f aca="false">(E21*F21*(G21/100))/H21</f>
        <v>18.75</v>
      </c>
      <c r="J21" s="13" t="s">
        <v>45</v>
      </c>
      <c r="K21" s="5" t="s">
        <v>50</v>
      </c>
    </row>
    <row r="22" customFormat="false" ht="15" hidden="false" customHeight="true" outlineLevel="0" collapsed="false">
      <c r="A22" s="8" t="n">
        <v>18</v>
      </c>
      <c r="B22" s="8" t="s">
        <v>51</v>
      </c>
      <c r="C22" s="8" t="s">
        <v>36</v>
      </c>
      <c r="D22" s="8" t="s">
        <v>37</v>
      </c>
      <c r="E22" s="8" t="n">
        <v>200</v>
      </c>
      <c r="F22" s="8" t="n">
        <v>3</v>
      </c>
      <c r="G22" s="8" t="n">
        <v>80</v>
      </c>
      <c r="H22" s="8" t="n">
        <v>5</v>
      </c>
      <c r="I22" s="9" t="n">
        <f aca="false">(E22*F22*(G22/100))/H22</f>
        <v>96</v>
      </c>
      <c r="J22" s="11" t="s">
        <v>30</v>
      </c>
      <c r="K22" s="8" t="s">
        <v>50</v>
      </c>
    </row>
    <row r="23" customFormat="false" ht="15" hidden="false" customHeight="true" outlineLevel="0" collapsed="false">
      <c r="A23" s="5" t="n">
        <v>19</v>
      </c>
      <c r="B23" s="5" t="s">
        <v>52</v>
      </c>
      <c r="C23" s="5" t="s">
        <v>26</v>
      </c>
      <c r="D23" s="5" t="s">
        <v>40</v>
      </c>
      <c r="E23" s="5" t="n">
        <v>100</v>
      </c>
      <c r="F23" s="5" t="n">
        <v>2</v>
      </c>
      <c r="G23" s="5" t="n">
        <v>45</v>
      </c>
      <c r="H23" s="5" t="n">
        <v>14</v>
      </c>
      <c r="I23" s="6" t="n">
        <f aca="false">(E23*F23*(G23/100))/H23</f>
        <v>6.42857142857143</v>
      </c>
      <c r="J23" s="15" t="s">
        <v>53</v>
      </c>
      <c r="K23" s="5" t="s">
        <v>50</v>
      </c>
    </row>
    <row r="24" customFormat="false" ht="15" hidden="false" customHeight="true" outlineLevel="0" collapsed="false">
      <c r="A24" s="8" t="n">
        <v>20</v>
      </c>
      <c r="B24" s="8" t="s">
        <v>54</v>
      </c>
      <c r="C24" s="8" t="s">
        <v>19</v>
      </c>
      <c r="D24" s="8" t="s">
        <v>22</v>
      </c>
      <c r="E24" s="8" t="n">
        <v>400</v>
      </c>
      <c r="F24" s="8" t="n">
        <v>2</v>
      </c>
      <c r="G24" s="8" t="n">
        <v>55</v>
      </c>
      <c r="H24" s="8" t="n">
        <v>16</v>
      </c>
      <c r="I24" s="9" t="n">
        <f aca="false">(E24*F24*(G24/100))/H24</f>
        <v>27.5</v>
      </c>
      <c r="J24" s="16" t="s">
        <v>53</v>
      </c>
      <c r="K24" s="8" t="s">
        <v>50</v>
      </c>
    </row>
    <row r="25" customFormat="false" ht="15" hidden="false" customHeight="true" outlineLevel="0" collapsed="false">
      <c r="A25" s="5" t="n">
        <v>21</v>
      </c>
      <c r="B25" s="5" t="s">
        <v>55</v>
      </c>
      <c r="C25" s="5" t="s">
        <v>36</v>
      </c>
      <c r="D25" s="5" t="s">
        <v>37</v>
      </c>
      <c r="E25" s="5" t="n">
        <v>50</v>
      </c>
      <c r="F25" s="5" t="n">
        <v>2</v>
      </c>
      <c r="G25" s="5" t="n">
        <v>40</v>
      </c>
      <c r="H25" s="5" t="n">
        <v>12</v>
      </c>
      <c r="I25" s="6" t="n">
        <f aca="false">(E25*F25*(G25/100))/H25</f>
        <v>3.33333333333333</v>
      </c>
      <c r="J25" s="15" t="s">
        <v>53</v>
      </c>
      <c r="K25" s="5" t="s">
        <v>50</v>
      </c>
    </row>
    <row r="26" customFormat="false" ht="15" hidden="false" customHeight="true" outlineLevel="0" collapsed="false">
      <c r="A26" s="8" t="n">
        <v>22</v>
      </c>
      <c r="B26" s="8" t="s">
        <v>56</v>
      </c>
      <c r="C26" s="8" t="s">
        <v>19</v>
      </c>
      <c r="D26" s="8" t="s">
        <v>15</v>
      </c>
      <c r="E26" s="8" t="n">
        <v>600</v>
      </c>
      <c r="F26" s="8" t="n">
        <v>2</v>
      </c>
      <c r="G26" s="8" t="n">
        <v>70</v>
      </c>
      <c r="H26" s="8" t="n">
        <v>5</v>
      </c>
      <c r="I26" s="9" t="n">
        <f aca="false">(E26*F26*(G26/100))/H26</f>
        <v>168</v>
      </c>
      <c r="J26" s="14" t="s">
        <v>45</v>
      </c>
      <c r="K26" s="8" t="s">
        <v>50</v>
      </c>
    </row>
    <row r="27" customFormat="false" ht="15" hidden="false" customHeight="true" outlineLevel="0" collapsed="false">
      <c r="A27" s="5" t="n">
        <v>23</v>
      </c>
      <c r="B27" s="5" t="s">
        <v>57</v>
      </c>
      <c r="C27" s="5" t="s">
        <v>26</v>
      </c>
      <c r="D27" s="5" t="s">
        <v>37</v>
      </c>
      <c r="E27" s="5" t="n">
        <v>180</v>
      </c>
      <c r="F27" s="5" t="n">
        <v>2</v>
      </c>
      <c r="G27" s="5" t="n">
        <v>65</v>
      </c>
      <c r="H27" s="5" t="n">
        <v>4</v>
      </c>
      <c r="I27" s="6" t="n">
        <f aca="false">(E27*F27*(G27/100))/H27</f>
        <v>58.5</v>
      </c>
      <c r="J27" s="13" t="s">
        <v>45</v>
      </c>
      <c r="K27" s="5" t="s">
        <v>50</v>
      </c>
    </row>
    <row r="28" customFormat="false" ht="15" hidden="false" customHeight="true" outlineLevel="0" collapsed="false">
      <c r="A28" s="8" t="n">
        <v>24</v>
      </c>
      <c r="B28" s="8" t="s">
        <v>58</v>
      </c>
      <c r="C28" s="8" t="s">
        <v>19</v>
      </c>
      <c r="D28" s="8" t="s">
        <v>29</v>
      </c>
      <c r="E28" s="8" t="n">
        <v>900</v>
      </c>
      <c r="F28" s="8" t="n">
        <v>1</v>
      </c>
      <c r="G28" s="8" t="n">
        <v>80</v>
      </c>
      <c r="H28" s="8" t="n">
        <v>2</v>
      </c>
      <c r="I28" s="9" t="n">
        <f aca="false">(E28*F28*(G28/100))/H28</f>
        <v>360</v>
      </c>
      <c r="J28" s="14" t="s">
        <v>45</v>
      </c>
      <c r="K28" s="8" t="s">
        <v>50</v>
      </c>
    </row>
    <row r="29" customFormat="false" ht="15" hidden="false" customHeight="true" outlineLevel="0" collapsed="false">
      <c r="A29" s="5" t="n">
        <v>25</v>
      </c>
      <c r="B29" s="5" t="s">
        <v>59</v>
      </c>
      <c r="C29" s="5" t="s">
        <v>36</v>
      </c>
      <c r="D29" s="5" t="s">
        <v>43</v>
      </c>
      <c r="E29" s="5" t="n">
        <v>300</v>
      </c>
      <c r="F29" s="5" t="n">
        <v>3</v>
      </c>
      <c r="G29" s="5" t="n">
        <v>50</v>
      </c>
      <c r="H29" s="5" t="n">
        <v>18</v>
      </c>
      <c r="I29" s="6" t="n">
        <f aca="false">(E29*F29*(G29/100))/H29</f>
        <v>25</v>
      </c>
      <c r="J29" s="15" t="s">
        <v>53</v>
      </c>
      <c r="K29" s="5" t="s">
        <v>50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  <col collapsed="false" customWidth="true" hidden="false" outlineLevel="0" max="5" min="5" style="1" width="44"/>
    <col collapsed="false" customWidth="true" hidden="false" outlineLevel="0" max="6" min="6" style="1" width="10"/>
    <col collapsed="false" customWidth="true" hidden="false" outlineLevel="0" max="7" min="7" style="1" width="4"/>
  </cols>
  <sheetData>
    <row r="1" customFormat="false" ht="31.5" hidden="false" customHeight="true" outlineLevel="0" collapsed="false">
      <c r="A1" s="17" t="s">
        <v>60</v>
      </c>
      <c r="B1" s="17"/>
      <c r="C1" s="17"/>
      <c r="D1" s="17"/>
      <c r="E1" s="17"/>
      <c r="F1" s="17"/>
      <c r="G1" s="17"/>
    </row>
    <row r="3" customFormat="false" ht="21.75" hidden="false" customHeight="true" outlineLevel="0" collapsed="false">
      <c r="A3" s="18" t="s">
        <v>61</v>
      </c>
      <c r="B3" s="18"/>
      <c r="C3" s="18"/>
      <c r="D3" s="18"/>
      <c r="E3" s="18"/>
      <c r="F3" s="18"/>
      <c r="G3" s="18"/>
    </row>
    <row r="4" customFormat="false" ht="15" hidden="false" customHeight="true" outlineLevel="0" collapsed="false">
      <c r="A4" s="19" t="s">
        <v>62</v>
      </c>
      <c r="B4" s="19" t="s">
        <v>5</v>
      </c>
      <c r="C4" s="19" t="s">
        <v>63</v>
      </c>
      <c r="D4" s="19" t="s">
        <v>64</v>
      </c>
      <c r="E4" s="19" t="s">
        <v>65</v>
      </c>
      <c r="F4" s="19" t="s">
        <v>66</v>
      </c>
    </row>
    <row r="5" customFormat="false" ht="18" hidden="false" customHeight="true" outlineLevel="0" collapsed="false">
      <c r="A5" s="20" t="s">
        <v>13</v>
      </c>
      <c r="B5" s="5" t="s">
        <v>15</v>
      </c>
      <c r="C5" s="7" t="s">
        <v>16</v>
      </c>
      <c r="D5" s="5" t="s">
        <v>67</v>
      </c>
      <c r="E5" s="21" t="s">
        <v>68</v>
      </c>
      <c r="F5" s="5" t="s">
        <v>69</v>
      </c>
    </row>
    <row r="6" customFormat="false" ht="18" hidden="false" customHeight="true" outlineLevel="0" collapsed="false">
      <c r="A6" s="22" t="s">
        <v>18</v>
      </c>
      <c r="B6" s="8" t="s">
        <v>20</v>
      </c>
      <c r="C6" s="10" t="s">
        <v>16</v>
      </c>
      <c r="D6" s="8" t="s">
        <v>70</v>
      </c>
      <c r="E6" s="23" t="s">
        <v>71</v>
      </c>
      <c r="F6" s="8" t="s">
        <v>72</v>
      </c>
    </row>
    <row r="7" customFormat="false" ht="18" hidden="false" customHeight="true" outlineLevel="0" collapsed="false">
      <c r="A7" s="20" t="s">
        <v>21</v>
      </c>
      <c r="B7" s="5" t="s">
        <v>22</v>
      </c>
      <c r="C7" s="7" t="s">
        <v>16</v>
      </c>
      <c r="D7" s="5" t="s">
        <v>73</v>
      </c>
      <c r="E7" s="21" t="s">
        <v>74</v>
      </c>
      <c r="F7" s="5" t="s">
        <v>75</v>
      </c>
    </row>
    <row r="8" customFormat="false" ht="18" hidden="false" customHeight="true" outlineLevel="0" collapsed="false">
      <c r="A8" s="22" t="s">
        <v>23</v>
      </c>
      <c r="B8" s="8" t="s">
        <v>24</v>
      </c>
      <c r="C8" s="10" t="s">
        <v>16</v>
      </c>
      <c r="D8" s="8" t="s">
        <v>76</v>
      </c>
      <c r="E8" s="23" t="s">
        <v>77</v>
      </c>
      <c r="F8" s="8" t="s">
        <v>78</v>
      </c>
    </row>
    <row r="10" customFormat="false" ht="21.75" hidden="false" customHeight="true" outlineLevel="0" collapsed="false">
      <c r="A10" s="24" t="s">
        <v>79</v>
      </c>
      <c r="B10" s="24"/>
      <c r="C10" s="24"/>
      <c r="D10" s="24"/>
      <c r="E10" s="24"/>
      <c r="F10" s="24"/>
      <c r="G10" s="24"/>
    </row>
    <row r="11" customFormat="false" ht="15" hidden="false" customHeight="true" outlineLevel="0" collapsed="false">
      <c r="A11" s="19" t="s">
        <v>62</v>
      </c>
      <c r="B11" s="19" t="s">
        <v>5</v>
      </c>
      <c r="C11" s="19" t="s">
        <v>63</v>
      </c>
      <c r="D11" s="19" t="s">
        <v>64</v>
      </c>
      <c r="E11" s="19" t="s">
        <v>65</v>
      </c>
      <c r="F11" s="19" t="s">
        <v>66</v>
      </c>
    </row>
    <row r="12" customFormat="false" ht="18" hidden="false" customHeight="true" outlineLevel="0" collapsed="false">
      <c r="A12" s="22" t="s">
        <v>25</v>
      </c>
      <c r="B12" s="8" t="s">
        <v>20</v>
      </c>
      <c r="C12" s="10" t="s">
        <v>16</v>
      </c>
      <c r="D12" s="8" t="s">
        <v>80</v>
      </c>
      <c r="E12" s="23" t="s">
        <v>81</v>
      </c>
      <c r="F12" s="8" t="s">
        <v>82</v>
      </c>
    </row>
    <row r="13" customFormat="false" ht="18" hidden="false" customHeight="true" outlineLevel="0" collapsed="false">
      <c r="A13" s="20" t="s">
        <v>35</v>
      </c>
      <c r="B13" s="5" t="s">
        <v>37</v>
      </c>
      <c r="C13" s="7" t="s">
        <v>16</v>
      </c>
      <c r="D13" s="5" t="s">
        <v>83</v>
      </c>
      <c r="E13" s="21" t="s">
        <v>84</v>
      </c>
      <c r="F13" s="5" t="s">
        <v>85</v>
      </c>
    </row>
    <row r="14" customFormat="false" ht="18" hidden="false" customHeight="true" outlineLevel="0" collapsed="false">
      <c r="A14" s="22" t="s">
        <v>28</v>
      </c>
      <c r="B14" s="8" t="s">
        <v>29</v>
      </c>
      <c r="C14" s="11" t="s">
        <v>30</v>
      </c>
      <c r="D14" s="8" t="s">
        <v>86</v>
      </c>
      <c r="E14" s="23" t="s">
        <v>87</v>
      </c>
      <c r="F14" s="8" t="s">
        <v>88</v>
      </c>
    </row>
    <row r="15" customFormat="false" ht="18" hidden="false" customHeight="true" outlineLevel="0" collapsed="false">
      <c r="A15" s="20" t="s">
        <v>31</v>
      </c>
      <c r="B15" s="5" t="s">
        <v>32</v>
      </c>
      <c r="C15" s="12" t="s">
        <v>30</v>
      </c>
      <c r="D15" s="5" t="s">
        <v>89</v>
      </c>
      <c r="E15" s="21" t="s">
        <v>90</v>
      </c>
      <c r="F15" s="5" t="s">
        <v>69</v>
      </c>
    </row>
    <row r="17" customFormat="false" ht="21.75" hidden="false" customHeight="true" outlineLevel="0" collapsed="false">
      <c r="A17" s="25" t="s">
        <v>91</v>
      </c>
      <c r="B17" s="25"/>
      <c r="C17" s="25"/>
      <c r="D17" s="25"/>
      <c r="E17" s="25"/>
      <c r="F17" s="25"/>
      <c r="G17" s="25"/>
    </row>
    <row r="18" customFormat="false" ht="15" hidden="false" customHeight="true" outlineLevel="0" collapsed="false">
      <c r="A18" s="19" t="s">
        <v>62</v>
      </c>
      <c r="B18" s="19" t="s">
        <v>5</v>
      </c>
      <c r="C18" s="19" t="s">
        <v>63</v>
      </c>
      <c r="D18" s="19" t="s">
        <v>64</v>
      </c>
      <c r="E18" s="19" t="s">
        <v>65</v>
      </c>
      <c r="F18" s="19" t="s">
        <v>66</v>
      </c>
    </row>
    <row r="19" customFormat="false" ht="18" hidden="false" customHeight="true" outlineLevel="0" collapsed="false">
      <c r="A19" s="20" t="s">
        <v>42</v>
      </c>
      <c r="B19" s="5" t="s">
        <v>43</v>
      </c>
      <c r="C19" s="7" t="s">
        <v>16</v>
      </c>
      <c r="D19" s="5" t="s">
        <v>92</v>
      </c>
      <c r="E19" s="21" t="s">
        <v>93</v>
      </c>
      <c r="F19" s="5" t="s">
        <v>88</v>
      </c>
    </row>
    <row r="20" customFormat="false" ht="18" hidden="false" customHeight="true" outlineLevel="0" collapsed="false">
      <c r="A20" s="22" t="s">
        <v>47</v>
      </c>
      <c r="B20" s="8" t="s">
        <v>43</v>
      </c>
      <c r="C20" s="10" t="s">
        <v>16</v>
      </c>
      <c r="D20" s="8" t="s">
        <v>94</v>
      </c>
      <c r="E20" s="23" t="s">
        <v>95</v>
      </c>
      <c r="F20" s="8" t="s">
        <v>85</v>
      </c>
    </row>
    <row r="21" customFormat="false" ht="18" hidden="false" customHeight="true" outlineLevel="0" collapsed="false">
      <c r="A21" s="20" t="s">
        <v>46</v>
      </c>
      <c r="B21" s="5" t="s">
        <v>15</v>
      </c>
      <c r="C21" s="12" t="s">
        <v>30</v>
      </c>
      <c r="D21" s="5" t="s">
        <v>96</v>
      </c>
      <c r="E21" s="21" t="s">
        <v>97</v>
      </c>
      <c r="F21" s="5" t="s">
        <v>98</v>
      </c>
    </row>
    <row r="22" customFormat="false" ht="18" hidden="false" customHeight="true" outlineLevel="0" collapsed="false">
      <c r="A22" s="22" t="s">
        <v>38</v>
      </c>
      <c r="B22" s="8" t="s">
        <v>40</v>
      </c>
      <c r="C22" s="11" t="s">
        <v>30</v>
      </c>
      <c r="D22" s="8" t="s">
        <v>99</v>
      </c>
      <c r="E22" s="23" t="s">
        <v>100</v>
      </c>
      <c r="F22" s="8" t="s">
        <v>101</v>
      </c>
    </row>
  </sheetData>
  <mergeCells count="4">
    <mergeCell ref="A1:G1"/>
    <mergeCell ref="A3:G3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4" min="3" style="1" width="8"/>
    <col collapsed="false" customWidth="true" hidden="false" outlineLevel="0" max="5" min="5" style="1" width="12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8"/>
  </cols>
  <sheetData>
    <row r="1" customFormat="false" ht="24" hidden="false" customHeight="true" outlineLevel="0" collapsed="false">
      <c r="A1" s="26" t="s">
        <v>102</v>
      </c>
      <c r="B1" s="26"/>
      <c r="C1" s="26"/>
      <c r="D1" s="26"/>
      <c r="E1" s="26"/>
      <c r="F1" s="26"/>
    </row>
    <row r="3" customFormat="false" ht="15" hidden="false" customHeight="true" outlineLevel="0" collapsed="false">
      <c r="A3" s="27" t="s">
        <v>103</v>
      </c>
      <c r="B3" s="27"/>
      <c r="C3" s="27"/>
      <c r="D3" s="27"/>
      <c r="E3" s="27"/>
      <c r="F3" s="27"/>
    </row>
    <row r="5" customFormat="false" ht="15" hidden="false" customHeight="true" outlineLevel="0" collapsed="false">
      <c r="A5" s="4" t="s">
        <v>104</v>
      </c>
      <c r="B5" s="4" t="s">
        <v>11</v>
      </c>
      <c r="C5" s="4" t="s">
        <v>105</v>
      </c>
      <c r="D5" s="4" t="s">
        <v>106</v>
      </c>
      <c r="E5" s="4" t="s">
        <v>107</v>
      </c>
      <c r="F5" s="4" t="s">
        <v>108</v>
      </c>
      <c r="G5" s="4" t="s">
        <v>10</v>
      </c>
      <c r="H5" s="4" t="s">
        <v>109</v>
      </c>
    </row>
    <row r="6" customFormat="false" ht="15" hidden="false" customHeight="true" outlineLevel="0" collapsed="false">
      <c r="A6" s="8" t="s">
        <v>13</v>
      </c>
      <c r="B6" s="10" t="s">
        <v>16</v>
      </c>
      <c r="C6" s="8" t="n">
        <v>800</v>
      </c>
      <c r="D6" s="8" t="n">
        <v>3</v>
      </c>
      <c r="E6" s="28" t="n">
        <v>0.8</v>
      </c>
      <c r="F6" s="8" t="n">
        <v>6</v>
      </c>
      <c r="G6" s="9" t="n">
        <f aca="false">(C6*D6*E6)/F6</f>
        <v>320</v>
      </c>
      <c r="H6" s="29" t="n">
        <f aca="false">RANK(G6,$G$6:$G$17)</f>
        <v>4</v>
      </c>
    </row>
    <row r="7" customFormat="false" ht="15" hidden="false" customHeight="true" outlineLevel="0" collapsed="false">
      <c r="A7" s="5" t="s">
        <v>18</v>
      </c>
      <c r="B7" s="7" t="s">
        <v>16</v>
      </c>
      <c r="C7" s="5" t="n">
        <v>950</v>
      </c>
      <c r="D7" s="5" t="n">
        <v>3</v>
      </c>
      <c r="E7" s="30" t="n">
        <v>0.9</v>
      </c>
      <c r="F7" s="5" t="n">
        <v>4</v>
      </c>
      <c r="G7" s="6" t="n">
        <f aca="false">(C7*D7*E7)/F7</f>
        <v>641.25</v>
      </c>
      <c r="H7" s="31" t="n">
        <f aca="false">RANK(G7,$G$6:$G$17)</f>
        <v>3</v>
      </c>
    </row>
    <row r="8" customFormat="false" ht="15" hidden="false" customHeight="true" outlineLevel="0" collapsed="false">
      <c r="A8" s="8" t="s">
        <v>47</v>
      </c>
      <c r="B8" s="10" t="s">
        <v>16</v>
      </c>
      <c r="C8" s="8" t="n">
        <v>900</v>
      </c>
      <c r="D8" s="8" t="n">
        <v>3</v>
      </c>
      <c r="E8" s="28" t="n">
        <v>0.85</v>
      </c>
      <c r="F8" s="8" t="n">
        <v>3</v>
      </c>
      <c r="G8" s="9" t="n">
        <f aca="false">(C8*D8*E8)/F8</f>
        <v>765</v>
      </c>
      <c r="H8" s="29" t="n">
        <f aca="false">RANK(G8,$G$6:$G$17)</f>
        <v>2</v>
      </c>
    </row>
    <row r="9" customFormat="false" ht="15" hidden="false" customHeight="true" outlineLevel="0" collapsed="false">
      <c r="A9" s="5" t="s">
        <v>110</v>
      </c>
      <c r="B9" s="7" t="s">
        <v>16</v>
      </c>
      <c r="C9" s="5" t="n">
        <v>900</v>
      </c>
      <c r="D9" s="5" t="n">
        <v>2</v>
      </c>
      <c r="E9" s="30" t="n">
        <v>0.95</v>
      </c>
      <c r="F9" s="5" t="n">
        <v>2</v>
      </c>
      <c r="G9" s="6" t="n">
        <f aca="false">(C9*D9*E9)/F9</f>
        <v>855</v>
      </c>
      <c r="H9" s="31" t="n">
        <f aca="false">RANK(G9,$G$6:$G$17)</f>
        <v>1</v>
      </c>
    </row>
    <row r="10" customFormat="false" ht="15" hidden="false" customHeight="true" outlineLevel="0" collapsed="false">
      <c r="A10" s="8" t="s">
        <v>111</v>
      </c>
      <c r="B10" s="10" t="s">
        <v>16</v>
      </c>
      <c r="C10" s="8" t="n">
        <v>1100</v>
      </c>
      <c r="D10" s="8" t="n">
        <v>3</v>
      </c>
      <c r="E10" s="28" t="n">
        <v>0.7</v>
      </c>
      <c r="F10" s="8" t="n">
        <v>12</v>
      </c>
      <c r="G10" s="9" t="n">
        <f aca="false">(C10*D10*E10)/F10</f>
        <v>192.5</v>
      </c>
      <c r="H10" s="29" t="n">
        <f aca="false">RANK(G10,$G$6:$G$17)</f>
        <v>5</v>
      </c>
    </row>
    <row r="11" customFormat="false" ht="15" hidden="false" customHeight="true" outlineLevel="0" collapsed="false">
      <c r="A11" s="5" t="s">
        <v>112</v>
      </c>
      <c r="B11" s="7" t="s">
        <v>16</v>
      </c>
      <c r="C11" s="5" t="n">
        <v>180</v>
      </c>
      <c r="D11" s="5" t="n">
        <v>3</v>
      </c>
      <c r="E11" s="30" t="n">
        <v>0.85</v>
      </c>
      <c r="F11" s="5" t="n">
        <v>5</v>
      </c>
      <c r="G11" s="6" t="n">
        <f aca="false">(C11*D11*E11)/F11</f>
        <v>91.8</v>
      </c>
      <c r="H11" s="31" t="n">
        <f aca="false">RANK(G11,$G$6:$G$17)</f>
        <v>9</v>
      </c>
    </row>
    <row r="12" customFormat="false" ht="15" hidden="false" customHeight="true" outlineLevel="0" collapsed="false">
      <c r="A12" s="8" t="s">
        <v>28</v>
      </c>
      <c r="B12" s="11" t="s">
        <v>30</v>
      </c>
      <c r="C12" s="8" t="n">
        <v>750</v>
      </c>
      <c r="D12" s="8" t="n">
        <v>2</v>
      </c>
      <c r="E12" s="28" t="n">
        <v>0.65</v>
      </c>
      <c r="F12" s="8" t="n">
        <v>8</v>
      </c>
      <c r="G12" s="9" t="n">
        <f aca="false">(C12*D12*E12)/F12</f>
        <v>121.875</v>
      </c>
      <c r="H12" s="29" t="n">
        <f aca="false">RANK(G12,$G$6:$G$17)</f>
        <v>8</v>
      </c>
    </row>
    <row r="13" customFormat="false" ht="15" hidden="false" customHeight="true" outlineLevel="0" collapsed="false">
      <c r="A13" s="5" t="s">
        <v>113</v>
      </c>
      <c r="B13" s="12" t="s">
        <v>30</v>
      </c>
      <c r="C13" s="5" t="n">
        <v>450</v>
      </c>
      <c r="D13" s="5" t="n">
        <v>2</v>
      </c>
      <c r="E13" s="30" t="n">
        <v>0.65</v>
      </c>
      <c r="F13" s="5" t="n">
        <v>7</v>
      </c>
      <c r="G13" s="6" t="n">
        <f aca="false">(C13*D13*E13)/F13</f>
        <v>83.5714285714286</v>
      </c>
      <c r="H13" s="31" t="n">
        <f aca="false">RANK(G13,$G$6:$G$17)</f>
        <v>10</v>
      </c>
    </row>
    <row r="14" customFormat="false" ht="15" hidden="false" customHeight="true" outlineLevel="0" collapsed="false">
      <c r="A14" s="8" t="s">
        <v>31</v>
      </c>
      <c r="B14" s="11" t="s">
        <v>30</v>
      </c>
      <c r="C14" s="8" t="n">
        <v>600</v>
      </c>
      <c r="D14" s="8" t="n">
        <v>2</v>
      </c>
      <c r="E14" s="28" t="n">
        <v>0.75</v>
      </c>
      <c r="F14" s="8" t="n">
        <v>6</v>
      </c>
      <c r="G14" s="9" t="n">
        <f aca="false">(C14*D14*E14)/F14</f>
        <v>150</v>
      </c>
      <c r="H14" s="29" t="n">
        <f aca="false">RANK(G14,$G$6:$G$17)</f>
        <v>7</v>
      </c>
    </row>
    <row r="15" customFormat="false" ht="15" hidden="false" customHeight="true" outlineLevel="0" collapsed="false">
      <c r="A15" s="5" t="s">
        <v>114</v>
      </c>
      <c r="B15" s="12" t="s">
        <v>30</v>
      </c>
      <c r="C15" s="5" t="n">
        <v>200</v>
      </c>
      <c r="D15" s="5" t="n">
        <v>3</v>
      </c>
      <c r="E15" s="30" t="n">
        <v>0.7</v>
      </c>
      <c r="F15" s="5" t="n">
        <v>10</v>
      </c>
      <c r="G15" s="6" t="n">
        <f aca="false">(C15*D15*E15)/F15</f>
        <v>42</v>
      </c>
      <c r="H15" s="31" t="n">
        <f aca="false">RANK(G15,$G$6:$G$17)</f>
        <v>11</v>
      </c>
    </row>
    <row r="16" customFormat="false" ht="15" hidden="false" customHeight="true" outlineLevel="0" collapsed="false">
      <c r="A16" s="8" t="s">
        <v>115</v>
      </c>
      <c r="B16" s="14" t="s">
        <v>45</v>
      </c>
      <c r="C16" s="8" t="n">
        <v>600</v>
      </c>
      <c r="D16" s="8" t="n">
        <v>2</v>
      </c>
      <c r="E16" s="28" t="n">
        <v>0.7</v>
      </c>
      <c r="F16" s="8" t="n">
        <v>5</v>
      </c>
      <c r="G16" s="9" t="n">
        <f aca="false">(C16*D16*E16)/F16</f>
        <v>168</v>
      </c>
      <c r="H16" s="29" t="n">
        <f aca="false">RANK(G16,$G$6:$G$17)</f>
        <v>6</v>
      </c>
    </row>
    <row r="17" customFormat="false" ht="15" hidden="false" customHeight="true" outlineLevel="0" collapsed="false">
      <c r="A17" s="5" t="s">
        <v>116</v>
      </c>
      <c r="B17" s="13" t="s">
        <v>45</v>
      </c>
      <c r="C17" s="5" t="n">
        <v>300</v>
      </c>
      <c r="D17" s="5" t="n">
        <v>2</v>
      </c>
      <c r="E17" s="30" t="n">
        <v>0.6</v>
      </c>
      <c r="F17" s="5" t="n">
        <v>12</v>
      </c>
      <c r="G17" s="6" t="n">
        <f aca="false">(C17*D17*E17)/F17</f>
        <v>30</v>
      </c>
      <c r="H17" s="31" t="n">
        <f aca="false">RANK(G17,$G$6:$G$17)</f>
        <v>12</v>
      </c>
    </row>
    <row r="19" customFormat="false" ht="15" hidden="false" customHeight="false" outlineLevel="0" collapsed="false">
      <c r="A19" s="32" t="s">
        <v>117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48"/>
  </cols>
  <sheetData>
    <row r="1" customFormat="false" ht="27.75" hidden="false" customHeight="true" outlineLevel="0" collapsed="false">
      <c r="A1" s="26" t="s">
        <v>118</v>
      </c>
      <c r="B1" s="26"/>
      <c r="C1" s="26"/>
      <c r="D1" s="26"/>
      <c r="E1" s="26"/>
    </row>
    <row r="3" customFormat="false" ht="15" hidden="false" customHeight="true" outlineLevel="0" collapsed="false">
      <c r="A3" s="4" t="s">
        <v>62</v>
      </c>
      <c r="B3" s="4" t="s">
        <v>119</v>
      </c>
      <c r="C3" s="4" t="s">
        <v>120</v>
      </c>
      <c r="D3" s="4" t="s">
        <v>121</v>
      </c>
      <c r="E3" s="4" t="s">
        <v>122</v>
      </c>
    </row>
    <row r="4" customFormat="false" ht="19.5" hidden="false" customHeight="true" outlineLevel="0" collapsed="false">
      <c r="A4" s="8" t="s">
        <v>13</v>
      </c>
      <c r="B4" s="8" t="s">
        <v>123</v>
      </c>
      <c r="C4" s="8" t="s">
        <v>124</v>
      </c>
      <c r="D4" s="8" t="s">
        <v>125</v>
      </c>
      <c r="E4" s="8" t="s">
        <v>126</v>
      </c>
    </row>
    <row r="5" customFormat="false" ht="19.5" hidden="false" customHeight="true" outlineLevel="0" collapsed="false">
      <c r="A5" s="5" t="s">
        <v>18</v>
      </c>
      <c r="B5" s="5" t="s">
        <v>127</v>
      </c>
      <c r="C5" s="5" t="s">
        <v>128</v>
      </c>
      <c r="D5" s="5" t="s">
        <v>129</v>
      </c>
      <c r="E5" s="5" t="s">
        <v>130</v>
      </c>
    </row>
    <row r="6" customFormat="false" ht="19.5" hidden="false" customHeight="true" outlineLevel="0" collapsed="false">
      <c r="A6" s="8" t="s">
        <v>111</v>
      </c>
      <c r="B6" s="8" t="s">
        <v>131</v>
      </c>
      <c r="C6" s="8" t="s">
        <v>132</v>
      </c>
      <c r="D6" s="8" t="s">
        <v>133</v>
      </c>
      <c r="E6" s="8" t="s">
        <v>134</v>
      </c>
    </row>
    <row r="7" customFormat="false" ht="19.5" hidden="false" customHeight="true" outlineLevel="0" collapsed="false">
      <c r="A7" s="5" t="s">
        <v>135</v>
      </c>
      <c r="B7" s="5" t="s">
        <v>136</v>
      </c>
      <c r="C7" s="5" t="s">
        <v>137</v>
      </c>
      <c r="D7" s="5" t="s">
        <v>138</v>
      </c>
      <c r="E7" s="5" t="s">
        <v>139</v>
      </c>
    </row>
    <row r="8" customFormat="false" ht="19.5" hidden="false" customHeight="true" outlineLevel="0" collapsed="false">
      <c r="A8" s="8" t="s">
        <v>47</v>
      </c>
      <c r="B8" s="8" t="s">
        <v>140</v>
      </c>
      <c r="C8" s="8" t="s">
        <v>124</v>
      </c>
      <c r="D8" s="8" t="s">
        <v>141</v>
      </c>
      <c r="E8" s="8" t="s">
        <v>142</v>
      </c>
    </row>
    <row r="9" customFormat="false" ht="19.5" hidden="false" customHeight="true" outlineLevel="0" collapsed="false">
      <c r="A9" s="5" t="s">
        <v>112</v>
      </c>
      <c r="B9" s="5" t="s">
        <v>143</v>
      </c>
      <c r="C9" s="5" t="s">
        <v>144</v>
      </c>
      <c r="D9" s="5" t="s">
        <v>145</v>
      </c>
      <c r="E9" s="5" t="s">
        <v>81</v>
      </c>
    </row>
    <row r="10" customFormat="false" ht="19.5" hidden="false" customHeight="true" outlineLevel="0" collapsed="false">
      <c r="A10" s="8" t="s">
        <v>113</v>
      </c>
      <c r="B10" s="8" t="s">
        <v>146</v>
      </c>
      <c r="C10" s="8" t="s">
        <v>147</v>
      </c>
      <c r="D10" s="8" t="s">
        <v>148</v>
      </c>
      <c r="E10" s="8" t="s">
        <v>149</v>
      </c>
    </row>
    <row r="11" customFormat="false" ht="19.5" hidden="false" customHeight="true" outlineLevel="0" collapsed="false">
      <c r="A11" s="5" t="s">
        <v>150</v>
      </c>
      <c r="B11" s="5" t="s">
        <v>151</v>
      </c>
      <c r="C11" s="5" t="s">
        <v>152</v>
      </c>
      <c r="D11" s="5" t="s">
        <v>153</v>
      </c>
      <c r="E11" s="5" t="s">
        <v>154</v>
      </c>
    </row>
    <row r="12" customFormat="false" ht="19.5" hidden="false" customHeight="true" outlineLevel="0" collapsed="false">
      <c r="A12" s="8" t="s">
        <v>114</v>
      </c>
      <c r="B12" s="8" t="s">
        <v>155</v>
      </c>
      <c r="C12" s="8" t="s">
        <v>156</v>
      </c>
      <c r="D12" s="8" t="s">
        <v>157</v>
      </c>
      <c r="E12" s="8" t="s">
        <v>158</v>
      </c>
    </row>
    <row r="13" customFormat="false" ht="19.5" hidden="false" customHeight="true" outlineLevel="0" collapsed="false">
      <c r="A13" s="5" t="s">
        <v>31</v>
      </c>
      <c r="B13" s="5" t="s">
        <v>159</v>
      </c>
      <c r="C13" s="5" t="s">
        <v>160</v>
      </c>
      <c r="D13" s="5" t="s">
        <v>161</v>
      </c>
      <c r="E13" s="5" t="s">
        <v>90</v>
      </c>
    </row>
    <row r="14" customFormat="false" ht="19.5" hidden="false" customHeight="true" outlineLevel="0" collapsed="false">
      <c r="A14" s="33" t="s">
        <v>162</v>
      </c>
      <c r="B14" s="33" t="s">
        <v>123</v>
      </c>
      <c r="C14" s="33" t="s">
        <v>124</v>
      </c>
      <c r="D14" s="33" t="s">
        <v>163</v>
      </c>
      <c r="E14" s="33" t="s">
        <v>164</v>
      </c>
    </row>
    <row r="16" customFormat="false" ht="15" hidden="false" customHeight="false" outlineLevel="0" collapsed="false">
      <c r="A16" s="32" t="s">
        <v>165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2026-04-20T20:36:59Z</dcterms:created>
  <dc:creator>openpyxl</dc:creator>
  <dc:description/>
  <dc:language>en-US</dc:language>
  <cp:lastModifiedBy/>
  <dcterms:modified xsi:type="dcterms:W3CDTF">2026-10-20T01:35:57Z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